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am Roles" sheetId="1" state="visible" r:id="rId3"/>
    <sheet name="2-Week Launch Plan" sheetId="2" state="visible" r:id="rId4"/>
    <sheet name="Tool Costs" sheetId="3" state="visible" r:id="rId5"/>
    <sheet name="Revenue Targets" sheetId="4" state="visible" r:id="rId6"/>
    <sheet name="Sales Tracker" sheetId="5" state="visible" r:id="rId7"/>
    <sheet name="KPI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<sst xmlns="http://schemas.openxmlformats.org/spreadsheetml/2006/main" count="179" uniqueCount="133">
  <si>
    <t xml:space="preserve">Name</t>
  </si>
  <si>
    <t xml:space="preserve">Role</t>
  </si>
  <si>
    <t xml:space="preserve">Responsibilities</t>
  </si>
  <si>
    <t xml:space="preserve">Status</t>
  </si>
  <si>
    <t xml:space="preserve">Stefano</t>
  </si>
  <si>
    <t xml:space="preserve">CEO / Founder</t>
  </si>
  <si>
    <t xml:space="preserve">Vision, strategy, sales, client relationships, final decisions</t>
  </si>
  <si>
    <t xml:space="preserve">Active</t>
  </si>
  <si>
    <t xml:space="preserve">Mac</t>
  </si>
  <si>
    <t xml:space="preserve">COO / Co-Founder</t>
  </si>
  <si>
    <t xml:space="preserve">Technical execution, operations, tool setup, AI configuration, problem-solving</t>
  </si>
  <si>
    <t xml:space="preserve">Day</t>
  </si>
  <si>
    <t xml:space="preserve">Date Range</t>
  </si>
  <si>
    <t xml:space="preserve">Task</t>
  </si>
  <si>
    <t xml:space="preserve">Owner</t>
  </si>
  <si>
    <t xml:space="preserve">Day 1</t>
  </si>
  <si>
    <t xml:space="preserve">Week 1</t>
  </si>
  <si>
    <t xml:space="preserve">Set up GoHighLevel account &amp; CRM pipeline</t>
  </si>
  <si>
    <t xml:space="preserve">Finalize FNDI branding, website copy &amp; pricing</t>
  </si>
  <si>
    <t xml:space="preserve">Day 2</t>
  </si>
  <si>
    <t xml:space="preserve">Configure Synthflow AI voice agent</t>
  </si>
  <si>
    <t xml:space="preserve">Build target client list (50 local businesses)</t>
  </si>
  <si>
    <t xml:space="preserve">Day 3</t>
  </si>
  <si>
    <t xml:space="preserve">Connect Twilio phone number + test calls</t>
  </si>
  <si>
    <t xml:space="preserve">Write outreach scripts (cold call + email)</t>
  </si>
  <si>
    <t xml:space="preserve">Day 4</t>
  </si>
  <si>
    <t xml:space="preserve">Set up GoHighLevel automations &amp; follow-ups</t>
  </si>
  <si>
    <t xml:space="preserve">Create demo video / screen recording</t>
  </si>
  <si>
    <t xml:space="preserve">Day 5</t>
  </si>
  <si>
    <t xml:space="preserve">Full end-to-end test: call → AI → CRM → follow-up</t>
  </si>
  <si>
    <t xml:space="preserve">Both</t>
  </si>
  <si>
    <t xml:space="preserve">Fix any bugs, polish demo flow</t>
  </si>
  <si>
    <t xml:space="preserve">Day 6</t>
  </si>
  <si>
    <t xml:space="preserve">Week 2</t>
  </si>
  <si>
    <t xml:space="preserve">Start outreach — call/email first 10 businesses</t>
  </si>
  <si>
    <t xml:space="preserve">Monitor AI calls, tune responses</t>
  </si>
  <si>
    <t xml:space="preserve">Day 7</t>
  </si>
  <si>
    <t xml:space="preserve">Follow up on Day 6 leads, book demos</t>
  </si>
  <si>
    <t xml:space="preserve">Build client onboarding checklist</t>
  </si>
  <si>
    <t xml:space="preserve">Day 8</t>
  </si>
  <si>
    <t xml:space="preserve">Run 2-3 live demos with interested prospects</t>
  </si>
  <si>
    <t xml:space="preserve">Customize AI agent per prospect industry</t>
  </si>
  <si>
    <t xml:space="preserve">Day 9</t>
  </si>
  <si>
    <t xml:space="preserve">Outreach to next 15 businesses</t>
  </si>
  <si>
    <t xml:space="preserve">Set up client dashboard in GoHighLevel</t>
  </si>
  <si>
    <t xml:space="preserve">Day 10</t>
  </si>
  <si>
    <t xml:space="preserve">Close first 1-2 paying clients</t>
  </si>
  <si>
    <t xml:space="preserve">Onboard first clients, deploy their AI agents</t>
  </si>
  <si>
    <t xml:space="preserve">Day 11-14</t>
  </si>
  <si>
    <t xml:space="preserve">Continue outreach cycle — aim for 5 clients</t>
  </si>
  <si>
    <t xml:space="preserve">Support live clients, gather feedback, iterate</t>
  </si>
  <si>
    <t xml:space="preserve">FNDI — TOOL STACK &amp; MONTHLY COSTS</t>
  </si>
  <si>
    <t xml:space="preserve">Tool</t>
  </si>
  <si>
    <t xml:space="preserve">What It Does</t>
  </si>
  <si>
    <t xml:space="preserve">Plan</t>
  </si>
  <si>
    <t xml:space="preserve">Monthly Cost</t>
  </si>
  <si>
    <t xml:space="preserve">Priority</t>
  </si>
  <si>
    <t xml:space="preserve">GoHighLevel</t>
  </si>
  <si>
    <t xml:space="preserve">CRM, SMS, email, pipelines, booking</t>
  </si>
  <si>
    <t xml:space="preserve">Agency Starter</t>
  </si>
  <si>
    <t xml:space="preserve">🔴 Must Have</t>
  </si>
  <si>
    <t xml:space="preserve">Synthflow AI</t>
  </si>
  <si>
    <t xml:space="preserve">Voice agents for phone calls</t>
  </si>
  <si>
    <t xml:space="preserve">Starter</t>
  </si>
  <si>
    <t xml:space="preserve">Twilio</t>
  </si>
  <si>
    <t xml:space="preserve">Phone numbers &amp; call routing</t>
  </si>
  <si>
    <t xml:space="preserve">Pay-as-you-go</t>
  </si>
  <si>
    <t xml:space="preserve">OpenAI API</t>
  </si>
  <si>
    <t xml:space="preserve">GPT for chatbot &amp; voice AI brain</t>
  </si>
  <si>
    <t xml:space="preserve">Chatbase</t>
  </si>
  <si>
    <t xml:space="preserve">Website chatbot builder</t>
  </si>
  <si>
    <t xml:space="preserve">Free / Hobby</t>
  </si>
  <si>
    <t xml:space="preserve">🟡 Important</t>
  </si>
  <si>
    <t xml:space="preserve">Calendly</t>
  </si>
  <si>
    <t xml:space="preserve">Booking &amp; scheduling</t>
  </si>
  <si>
    <t xml:space="preserve">Free</t>
  </si>
  <si>
    <t xml:space="preserve">🟢 Already Set Up</t>
  </si>
  <si>
    <t xml:space="preserve">Canva</t>
  </si>
  <si>
    <t xml:space="preserve">Proposals, graphics, social media</t>
  </si>
  <si>
    <t xml:space="preserve">Make.com</t>
  </si>
  <si>
    <t xml:space="preserve">Automation workflows</t>
  </si>
  <si>
    <t xml:space="preserve">Free (1000 ops)</t>
  </si>
  <si>
    <t xml:space="preserve">Zapier</t>
  </si>
  <si>
    <t xml:space="preserve">Backup automation tool</t>
  </si>
  <si>
    <t xml:space="preserve">Free (100 tasks)</t>
  </si>
  <si>
    <t xml:space="preserve">🟡 Nice to Have</t>
  </si>
  <si>
    <t xml:space="preserve">ManyChat</t>
  </si>
  <si>
    <t xml:space="preserve">Instagram DM automation</t>
  </si>
  <si>
    <t xml:space="preserve">Free (up to 1000)</t>
  </si>
  <si>
    <t xml:space="preserve">Gmail Workspace</t>
  </si>
  <si>
    <t xml:space="preserve">Professional email</t>
  </si>
  <si>
    <t xml:space="preserve">Business Starter</t>
  </si>
  <si>
    <t xml:space="preserve">Vercel</t>
  </si>
  <si>
    <t xml:space="preserve">Website hosting</t>
  </si>
  <si>
    <t xml:space="preserve">Free (Hobby)</t>
  </si>
  <si>
    <t xml:space="preserve">TOTAL MONTHLY COST (to start)</t>
  </si>
  <si>
    <t xml:space="preserve">FNDI — REVENUE &amp; PROFIT PROJECTIONS</t>
  </si>
  <si>
    <t xml:space="preserve">Metric</t>
  </si>
  <si>
    <t xml:space="preserve">Month 1</t>
  </si>
  <si>
    <t xml:space="preserve">Month 2</t>
  </si>
  <si>
    <t xml:space="preserve">Month 3</t>
  </si>
  <si>
    <t xml:space="preserve">Month 6</t>
  </si>
  <si>
    <t xml:space="preserve">Month 12</t>
  </si>
  <si>
    <t xml:space="preserve">Clients (Starter $297)</t>
  </si>
  <si>
    <t xml:space="preserve">Clients (Growth $697)</t>
  </si>
  <si>
    <t xml:space="preserve">Clients (Dominate $997)</t>
  </si>
  <si>
    <t xml:space="preserve">Total Clients</t>
  </si>
  <si>
    <t xml:space="preserve">Monthly Recurring Revenue</t>
  </si>
  <si>
    <t xml:space="preserve">Setup Fees (one-time)</t>
  </si>
  <si>
    <t xml:space="preserve">Tool Costs</t>
  </si>
  <si>
    <t xml:space="preserve">Victor Commission (25% MRR)</t>
  </si>
  <si>
    <t xml:space="preserve">NET MONTHLY PROFIT</t>
  </si>
  <si>
    <t xml:space="preserve">Business Name</t>
  </si>
  <si>
    <t xml:space="preserve">Industry</t>
  </si>
  <si>
    <t xml:space="preserve">Contact Method</t>
  </si>
  <si>
    <t xml:space="preserve">Monthly Value</t>
  </si>
  <si>
    <t xml:space="preserve">KPI</t>
  </si>
  <si>
    <t xml:space="preserve">Week 1 Target</t>
  </si>
  <si>
    <t xml:space="preserve">Week 1 Actual</t>
  </si>
  <si>
    <t xml:space="preserve">Week 2 Target</t>
  </si>
  <si>
    <t xml:space="preserve">Week 2 Actual</t>
  </si>
  <si>
    <t xml:space="preserve">Outreach calls/emails (Stefano)</t>
  </si>
  <si>
    <t xml:space="preserve">Demos booked (Stefano)</t>
  </si>
  <si>
    <t xml:space="preserve">Demos completed</t>
  </si>
  <si>
    <t xml:space="preserve">Proposals sent</t>
  </si>
  <si>
    <t xml:space="preserve">Clients closed</t>
  </si>
  <si>
    <t xml:space="preserve">AI agents deployed (Mac)</t>
  </si>
  <si>
    <t xml:space="preserve">Monthly recurring revenue</t>
  </si>
  <si>
    <t xml:space="preserve">$0</t>
  </si>
  <si>
    <t xml:space="preserve">$1,000+</t>
  </si>
  <si>
    <t xml:space="preserve">Tool stack fully tested</t>
  </si>
  <si>
    <t xml:space="preserve">Yes</t>
  </si>
  <si>
    <t xml:space="preserve">N/A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</si>
</sst>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$#,##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4"/>
      <color rgb="FF7C3AED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7C3AED"/>
      <name val="Arial"/>
      <family val="0"/>
      <charset val="1"/>
    </font>
    <font>
      <b val="true"/>
      <sz val="12"/>
      <color rgb="FF7C3AED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7C3AED"/>
      <name val="Arial"/>
      <family val="0"/>
      <charset val="1"/>
    </font>
    <font>
      <b val="true"/>
      <sz val="11"/>
      <color rgb="FF34D399"/>
      <name val="Arial"/>
      <family val="0"/>
      <charset val="1"/>
    </font>
    <font>
      <sz val="10"/>
      <color rgb="FF0080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7C3AED"/>
        <bgColor rgb="FF993366"/>
      </patternFill>
    </fill>
    <fill>
      <patternFill patternType="solid">
        <fgColor rgb="FFF3E8FF"/>
        <bgColor rgb="FFF3EFFE"/>
      </patternFill>
    </fill>
    <fill>
      <patternFill patternType="solid">
        <fgColor rgb="FFF9F7FF"/>
        <bgColor rgb="FFFFFFFF"/>
      </patternFill>
    </fill>
    <fill>
      <patternFill patternType="solid">
        <fgColor rgb="FFF3EFFE"/>
        <bgColor rgb="FFF3E8FF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 diagonalUp="false" diagonalDown="false">
      <left style="thin">
        <color rgb="FFD9D9D9"/>
      </left>
      <right/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4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9" fillId="5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3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5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2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3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9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9F7FF"/>
      <rgbColor rgb="FFF3EFFE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3E8FF"/>
      <rgbColor rgb="FFCCFFCC"/>
      <rgbColor rgb="FFFFFF99"/>
      <rgbColor rgb="FF99CCFF"/>
      <rgbColor rgb="FFFF99CC"/>
      <rgbColor rgb="FFCC99FF"/>
      <rgbColor rgb="FFFFCC99"/>
      <rgbColor rgb="FF3366FF"/>
      <rgbColor rgb="FF34D399"/>
      <rgbColor rgb="FF99CC00"/>
      <rgbColor rgb="FFFFCC00"/>
      <rgbColor rgb="FFFF9900"/>
      <rgbColor rgb="FFFF6600"/>
      <rgbColor rgb="FF7C3AED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2"/>
    <col collapsed="false" customWidth="true" hidden="false" outlineLevel="0" max="3" min="3" style="0" width="45"/>
    <col collapsed="false" customWidth="true" hidden="false" outlineLevel="0" max="4" min="4" style="0" width="2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23.85" hidden="false" customHeight="false" outlineLevel="0" collapsed="false">
      <c r="A2" s="2" t="s">
        <v>4</v>
      </c>
      <c r="B2" s="2" t="s">
        <v>5</v>
      </c>
      <c r="C2" s="2" t="s">
        <v>6</v>
      </c>
      <c r="D2" s="2" t="s">
        <v>7</v>
      </c>
    </row>
    <row r="3" customFormat="false" ht="23.85" hidden="false" customHeight="false" outlineLevel="0" collapsed="false">
      <c r="A3" s="2" t="s">
        <v>8</v>
      </c>
      <c r="B3" s="2" t="s">
        <v>9</v>
      </c>
      <c r="C3" s="2" t="s">
        <v>10</v>
      </c>
      <c r="D3" s="2" t="s">
        <v>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4"/>
    <col collapsed="false" customWidth="true" hidden="false" outlineLevel="0" max="3" min="3" style="0" width="40"/>
    <col collapsed="false" customWidth="true" hidden="false" outlineLevel="0" max="4" min="4" style="0" width="16"/>
    <col collapsed="false" customWidth="true" hidden="false" outlineLevel="0" max="5" min="5" style="0" width="14"/>
  </cols>
  <sheetData>
    <row r="1" customFormat="false" ht="15" hidden="false" customHeight="false" outlineLevel="0" collapsed="false">
      <c r="A1" s="1" t="s">
        <v>11</v>
      </c>
      <c r="B1" s="1" t="s">
        <v>12</v>
      </c>
      <c r="C1" s="1" t="s">
        <v>13</v>
      </c>
      <c r="D1" s="1" t="s">
        <v>14</v>
      </c>
      <c r="E1" s="1" t="s">
        <v>3</v>
      </c>
    </row>
    <row r="2" customFormat="false" ht="15" hidden="false" customHeight="false" outlineLevel="0" collapsed="false">
      <c r="A2" s="3" t="s">
        <v>15</v>
      </c>
      <c r="B2" s="3" t="s">
        <v>16</v>
      </c>
      <c r="C2" s="3" t="s">
        <v>17</v>
      </c>
      <c r="D2" s="3" t="s">
        <v>8</v>
      </c>
      <c r="E2" s="3"/>
    </row>
    <row r="3" customFormat="false" ht="15" hidden="false" customHeight="false" outlineLevel="0" collapsed="false">
      <c r="A3" s="2" t="s">
        <v>15</v>
      </c>
      <c r="B3" s="2"/>
      <c r="C3" s="2" t="s">
        <v>18</v>
      </c>
      <c r="D3" s="2" t="s">
        <v>4</v>
      </c>
      <c r="E3" s="2"/>
    </row>
    <row r="4" customFormat="false" ht="15" hidden="false" customHeight="false" outlineLevel="0" collapsed="false">
      <c r="A4" s="3" t="s">
        <v>19</v>
      </c>
      <c r="B4" s="3"/>
      <c r="C4" s="3" t="s">
        <v>20</v>
      </c>
      <c r="D4" s="3" t="s">
        <v>8</v>
      </c>
      <c r="E4" s="3"/>
    </row>
    <row r="5" customFormat="false" ht="15" hidden="false" customHeight="false" outlineLevel="0" collapsed="false">
      <c r="A5" s="2" t="s">
        <v>19</v>
      </c>
      <c r="B5" s="2"/>
      <c r="C5" s="2" t="s">
        <v>21</v>
      </c>
      <c r="D5" s="2" t="s">
        <v>4</v>
      </c>
      <c r="E5" s="2"/>
    </row>
    <row r="6" customFormat="false" ht="15" hidden="false" customHeight="false" outlineLevel="0" collapsed="false">
      <c r="A6" s="3" t="s">
        <v>22</v>
      </c>
      <c r="B6" s="3"/>
      <c r="C6" s="3" t="s">
        <v>23</v>
      </c>
      <c r="D6" s="3" t="s">
        <v>8</v>
      </c>
      <c r="E6" s="3"/>
    </row>
    <row r="7" customFormat="false" ht="15" hidden="false" customHeight="false" outlineLevel="0" collapsed="false">
      <c r="A7" s="2" t="s">
        <v>22</v>
      </c>
      <c r="B7" s="2"/>
      <c r="C7" s="2" t="s">
        <v>24</v>
      </c>
      <c r="D7" s="2" t="s">
        <v>4</v>
      </c>
      <c r="E7" s="2"/>
    </row>
    <row r="8" customFormat="false" ht="15" hidden="false" customHeight="false" outlineLevel="0" collapsed="false">
      <c r="A8" s="3" t="s">
        <v>25</v>
      </c>
      <c r="B8" s="3"/>
      <c r="C8" s="3" t="s">
        <v>26</v>
      </c>
      <c r="D8" s="3" t="s">
        <v>8</v>
      </c>
      <c r="E8" s="3"/>
    </row>
    <row r="9" customFormat="false" ht="15" hidden="false" customHeight="false" outlineLevel="0" collapsed="false">
      <c r="A9" s="2" t="s">
        <v>25</v>
      </c>
      <c r="B9" s="2"/>
      <c r="C9" s="2" t="s">
        <v>27</v>
      </c>
      <c r="D9" s="2" t="s">
        <v>4</v>
      </c>
      <c r="E9" s="2"/>
    </row>
    <row r="10" customFormat="false" ht="23.85" hidden="false" customHeight="false" outlineLevel="0" collapsed="false">
      <c r="A10" s="3" t="s">
        <v>28</v>
      </c>
      <c r="B10" s="3"/>
      <c r="C10" s="3" t="s">
        <v>29</v>
      </c>
      <c r="D10" s="3" t="s">
        <v>30</v>
      </c>
      <c r="E10" s="3"/>
    </row>
    <row r="11" customFormat="false" ht="15" hidden="false" customHeight="false" outlineLevel="0" collapsed="false">
      <c r="A11" s="2" t="s">
        <v>28</v>
      </c>
      <c r="B11" s="2"/>
      <c r="C11" s="2" t="s">
        <v>31</v>
      </c>
      <c r="D11" s="2" t="s">
        <v>8</v>
      </c>
      <c r="E11" s="2"/>
    </row>
    <row r="12" customFormat="false" ht="15" hidden="false" customHeight="false" outlineLevel="0" collapsed="false">
      <c r="A12" s="3" t="s">
        <v>32</v>
      </c>
      <c r="B12" s="3" t="s">
        <v>33</v>
      </c>
      <c r="C12" s="3" t="s">
        <v>34</v>
      </c>
      <c r="D12" s="3" t="s">
        <v>4</v>
      </c>
      <c r="E12" s="3"/>
    </row>
    <row r="13" customFormat="false" ht="15" hidden="false" customHeight="false" outlineLevel="0" collapsed="false">
      <c r="A13" s="2" t="s">
        <v>32</v>
      </c>
      <c r="B13" s="2"/>
      <c r="C13" s="2" t="s">
        <v>35</v>
      </c>
      <c r="D13" s="2" t="s">
        <v>8</v>
      </c>
      <c r="E13" s="2"/>
    </row>
    <row r="14" customFormat="false" ht="15" hidden="false" customHeight="false" outlineLevel="0" collapsed="false">
      <c r="A14" s="3" t="s">
        <v>36</v>
      </c>
      <c r="B14" s="3"/>
      <c r="C14" s="3" t="s">
        <v>37</v>
      </c>
      <c r="D14" s="3" t="s">
        <v>4</v>
      </c>
      <c r="E14" s="3"/>
    </row>
    <row r="15" customFormat="false" ht="15" hidden="false" customHeight="false" outlineLevel="0" collapsed="false">
      <c r="A15" s="2" t="s">
        <v>36</v>
      </c>
      <c r="B15" s="2"/>
      <c r="C15" s="2" t="s">
        <v>38</v>
      </c>
      <c r="D15" s="2" t="s">
        <v>8</v>
      </c>
      <c r="E15" s="2"/>
    </row>
    <row r="16" customFormat="false" ht="15" hidden="false" customHeight="false" outlineLevel="0" collapsed="false">
      <c r="A16" s="3" t="s">
        <v>39</v>
      </c>
      <c r="B16" s="3"/>
      <c r="C16" s="3" t="s">
        <v>40</v>
      </c>
      <c r="D16" s="3" t="s">
        <v>4</v>
      </c>
      <c r="E16" s="3"/>
    </row>
    <row r="17" customFormat="false" ht="15" hidden="false" customHeight="false" outlineLevel="0" collapsed="false">
      <c r="A17" s="2" t="s">
        <v>39</v>
      </c>
      <c r="B17" s="2"/>
      <c r="C17" s="2" t="s">
        <v>41</v>
      </c>
      <c r="D17" s="2" t="s">
        <v>8</v>
      </c>
      <c r="E17" s="2"/>
    </row>
    <row r="18" customFormat="false" ht="15" hidden="false" customHeight="false" outlineLevel="0" collapsed="false">
      <c r="A18" s="3" t="s">
        <v>42</v>
      </c>
      <c r="B18" s="3"/>
      <c r="C18" s="3" t="s">
        <v>43</v>
      </c>
      <c r="D18" s="3" t="s">
        <v>4</v>
      </c>
      <c r="E18" s="3"/>
    </row>
    <row r="19" customFormat="false" ht="15" hidden="false" customHeight="false" outlineLevel="0" collapsed="false">
      <c r="A19" s="2" t="s">
        <v>42</v>
      </c>
      <c r="B19" s="2"/>
      <c r="C19" s="2" t="s">
        <v>44</v>
      </c>
      <c r="D19" s="2" t="s">
        <v>8</v>
      </c>
      <c r="E19" s="2"/>
    </row>
    <row r="20" customFormat="false" ht="15" hidden="false" customHeight="false" outlineLevel="0" collapsed="false">
      <c r="A20" s="3" t="s">
        <v>45</v>
      </c>
      <c r="B20" s="3"/>
      <c r="C20" s="3" t="s">
        <v>46</v>
      </c>
      <c r="D20" s="3" t="s">
        <v>4</v>
      </c>
      <c r="E20" s="3"/>
    </row>
    <row r="21" customFormat="false" ht="15" hidden="false" customHeight="false" outlineLevel="0" collapsed="false">
      <c r="A21" s="2" t="s">
        <v>45</v>
      </c>
      <c r="B21" s="2"/>
      <c r="C21" s="2" t="s">
        <v>47</v>
      </c>
      <c r="D21" s="2" t="s">
        <v>8</v>
      </c>
      <c r="E21" s="2"/>
    </row>
    <row r="22" customFormat="false" ht="15" hidden="false" customHeight="false" outlineLevel="0" collapsed="false">
      <c r="A22" s="3" t="s">
        <v>48</v>
      </c>
      <c r="B22" s="3"/>
      <c r="C22" s="3" t="s">
        <v>49</v>
      </c>
      <c r="D22" s="3" t="s">
        <v>4</v>
      </c>
      <c r="E22" s="3"/>
    </row>
    <row r="23" customFormat="false" ht="15" hidden="false" customHeight="false" outlineLevel="0" collapsed="false">
      <c r="A23" s="2" t="s">
        <v>48</v>
      </c>
      <c r="B23" s="2"/>
      <c r="C23" s="2" t="s">
        <v>50</v>
      </c>
      <c r="D23" s="2" t="s">
        <v>8</v>
      </c>
      <c r="E23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4" width="20"/>
    <col collapsed="false" customWidth="true" hidden="false" outlineLevel="0" max="2" min="2" style="4" width="35"/>
    <col collapsed="false" customWidth="true" hidden="false" outlineLevel="0" max="3" min="3" style="4" width="20"/>
    <col collapsed="false" customWidth="true" hidden="false" outlineLevel="0" max="4" min="4" style="4" width="15"/>
    <col collapsed="false" customWidth="true" hidden="false" outlineLevel="0" max="5" min="5" style="4" width="18"/>
  </cols>
  <sheetData>
    <row r="1" customFormat="false" ht="34.5" hidden="false" customHeight="true" outlineLevel="0" collapsed="false">
      <c r="A1" s="5" t="s">
        <v>51</v>
      </c>
      <c r="B1" s="5"/>
      <c r="C1" s="5"/>
      <c r="D1" s="5"/>
      <c r="E1" s="5"/>
    </row>
    <row r="3" customFormat="false" ht="15" hidden="false" customHeight="true" outlineLevel="0" collapsed="false">
      <c r="A3" s="6" t="s">
        <v>52</v>
      </c>
      <c r="B3" s="6" t="s">
        <v>53</v>
      </c>
      <c r="C3" s="6" t="s">
        <v>54</v>
      </c>
      <c r="D3" s="6" t="s">
        <v>55</v>
      </c>
      <c r="E3" s="6" t="s">
        <v>56</v>
      </c>
    </row>
    <row r="4" customFormat="false" ht="15" hidden="false" customHeight="true" outlineLevel="0" collapsed="false">
      <c r="A4" s="7" t="s">
        <v>57</v>
      </c>
      <c r="B4" s="8" t="s">
        <v>58</v>
      </c>
      <c r="C4" s="8" t="s">
        <v>59</v>
      </c>
      <c r="D4" s="9" t="n">
        <v>97</v>
      </c>
      <c r="E4" s="8" t="s">
        <v>60</v>
      </c>
    </row>
    <row r="5" customFormat="false" ht="15" hidden="false" customHeight="true" outlineLevel="0" collapsed="false">
      <c r="A5" s="10" t="s">
        <v>61</v>
      </c>
      <c r="B5" s="11" t="s">
        <v>62</v>
      </c>
      <c r="C5" s="11" t="s">
        <v>63</v>
      </c>
      <c r="D5" s="12" t="n">
        <v>29</v>
      </c>
      <c r="E5" s="11" t="s">
        <v>60</v>
      </c>
    </row>
    <row r="6" customFormat="false" ht="15" hidden="false" customHeight="true" outlineLevel="0" collapsed="false">
      <c r="A6" s="7" t="s">
        <v>64</v>
      </c>
      <c r="B6" s="8" t="s">
        <v>65</v>
      </c>
      <c r="C6" s="8" t="s">
        <v>66</v>
      </c>
      <c r="D6" s="9" t="n">
        <v>20</v>
      </c>
      <c r="E6" s="8" t="s">
        <v>60</v>
      </c>
    </row>
    <row r="7" customFormat="false" ht="15" hidden="false" customHeight="true" outlineLevel="0" collapsed="false">
      <c r="A7" s="10" t="s">
        <v>67</v>
      </c>
      <c r="B7" s="11" t="s">
        <v>68</v>
      </c>
      <c r="C7" s="11" t="s">
        <v>66</v>
      </c>
      <c r="D7" s="12" t="n">
        <v>20</v>
      </c>
      <c r="E7" s="11" t="s">
        <v>60</v>
      </c>
    </row>
    <row r="8" customFormat="false" ht="15" hidden="false" customHeight="true" outlineLevel="0" collapsed="false">
      <c r="A8" s="7" t="s">
        <v>69</v>
      </c>
      <c r="B8" s="8" t="s">
        <v>70</v>
      </c>
      <c r="C8" s="8" t="s">
        <v>71</v>
      </c>
      <c r="D8" s="9" t="n">
        <v>0</v>
      </c>
      <c r="E8" s="8" t="s">
        <v>72</v>
      </c>
    </row>
    <row r="9" customFormat="false" ht="15" hidden="false" customHeight="true" outlineLevel="0" collapsed="false">
      <c r="A9" s="10" t="s">
        <v>73</v>
      </c>
      <c r="B9" s="11" t="s">
        <v>74</v>
      </c>
      <c r="C9" s="11" t="s">
        <v>75</v>
      </c>
      <c r="D9" s="12" t="n">
        <v>0</v>
      </c>
      <c r="E9" s="11" t="s">
        <v>76</v>
      </c>
    </row>
    <row r="10" customFormat="false" ht="15" hidden="false" customHeight="true" outlineLevel="0" collapsed="false">
      <c r="A10" s="7" t="s">
        <v>77</v>
      </c>
      <c r="B10" s="8" t="s">
        <v>78</v>
      </c>
      <c r="C10" s="8" t="s">
        <v>75</v>
      </c>
      <c r="D10" s="9" t="n">
        <v>0</v>
      </c>
      <c r="E10" s="8" t="s">
        <v>76</v>
      </c>
    </row>
    <row r="11" customFormat="false" ht="15" hidden="false" customHeight="true" outlineLevel="0" collapsed="false">
      <c r="A11" s="10" t="s">
        <v>79</v>
      </c>
      <c r="B11" s="11" t="s">
        <v>80</v>
      </c>
      <c r="C11" s="11" t="s">
        <v>81</v>
      </c>
      <c r="D11" s="12" t="n">
        <v>0</v>
      </c>
      <c r="E11" s="11" t="s">
        <v>72</v>
      </c>
    </row>
    <row r="12" customFormat="false" ht="15" hidden="false" customHeight="true" outlineLevel="0" collapsed="false">
      <c r="A12" s="7" t="s">
        <v>82</v>
      </c>
      <c r="B12" s="8" t="s">
        <v>83</v>
      </c>
      <c r="C12" s="8" t="s">
        <v>84</v>
      </c>
      <c r="D12" s="9" t="n">
        <v>0</v>
      </c>
      <c r="E12" s="8" t="s">
        <v>85</v>
      </c>
    </row>
    <row r="13" customFormat="false" ht="15" hidden="false" customHeight="true" outlineLevel="0" collapsed="false">
      <c r="A13" s="10" t="s">
        <v>86</v>
      </c>
      <c r="B13" s="11" t="s">
        <v>87</v>
      </c>
      <c r="C13" s="11" t="s">
        <v>88</v>
      </c>
      <c r="D13" s="12" t="n">
        <v>0</v>
      </c>
      <c r="E13" s="11" t="s">
        <v>72</v>
      </c>
    </row>
    <row r="14" customFormat="false" ht="15" hidden="false" customHeight="true" outlineLevel="0" collapsed="false">
      <c r="A14" s="7" t="s">
        <v>89</v>
      </c>
      <c r="B14" s="8" t="s">
        <v>90</v>
      </c>
      <c r="C14" s="8" t="s">
        <v>91</v>
      </c>
      <c r="D14" s="9" t="n">
        <v>7</v>
      </c>
      <c r="E14" s="8" t="s">
        <v>85</v>
      </c>
    </row>
    <row r="15" customFormat="false" ht="15" hidden="false" customHeight="true" outlineLevel="0" collapsed="false">
      <c r="A15" s="10" t="s">
        <v>92</v>
      </c>
      <c r="B15" s="11" t="s">
        <v>93</v>
      </c>
      <c r="C15" s="11" t="s">
        <v>94</v>
      </c>
      <c r="D15" s="12" t="n">
        <v>0</v>
      </c>
      <c r="E15" s="11" t="s">
        <v>76</v>
      </c>
    </row>
    <row r="16" customFormat="false" ht="15" hidden="false" customHeight="true" outlineLevel="0" collapsed="false">
      <c r="A16" s="13" t="s">
        <v>95</v>
      </c>
      <c r="B16" s="13"/>
      <c r="C16" s="13"/>
      <c r="D16" s="14" t="n">
        <f aca="false">SUM(D4:D15)</f>
        <v>173</v>
      </c>
    </row>
  </sheetData>
  <mergeCells count="2">
    <mergeCell ref="A1:E1"/>
    <mergeCell ref="A16:C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4" width="30"/>
    <col collapsed="false" customWidth="true" hidden="false" outlineLevel="0" max="6" min="2" style="4" width="14"/>
  </cols>
  <sheetData>
    <row r="1" customFormat="false" ht="34.5" hidden="false" customHeight="true" outlineLevel="0" collapsed="false">
      <c r="A1" s="5" t="s">
        <v>96</v>
      </c>
      <c r="B1" s="5"/>
      <c r="C1" s="5"/>
      <c r="D1" s="5"/>
      <c r="E1" s="5"/>
      <c r="F1" s="5"/>
    </row>
    <row r="3" customFormat="false" ht="15" hidden="false" customHeight="true" outlineLevel="0" collapsed="false">
      <c r="A3" s="6" t="s">
        <v>97</v>
      </c>
      <c r="B3" s="6" t="s">
        <v>98</v>
      </c>
      <c r="C3" s="6" t="s">
        <v>99</v>
      </c>
      <c r="D3" s="6" t="s">
        <v>100</v>
      </c>
      <c r="E3" s="6" t="s">
        <v>101</v>
      </c>
      <c r="F3" s="6" t="s">
        <v>102</v>
      </c>
    </row>
    <row r="4" customFormat="false" ht="15" hidden="false" customHeight="true" outlineLevel="0" collapsed="false">
      <c r="A4" s="10" t="s">
        <v>103</v>
      </c>
      <c r="B4" s="15" t="n">
        <v>2</v>
      </c>
      <c r="C4" s="15" t="n">
        <v>4</v>
      </c>
      <c r="D4" s="15" t="n">
        <v>6</v>
      </c>
      <c r="E4" s="15" t="n">
        <v>10</v>
      </c>
      <c r="F4" s="15" t="n">
        <v>15</v>
      </c>
    </row>
    <row r="5" customFormat="false" ht="15" hidden="false" customHeight="true" outlineLevel="0" collapsed="false">
      <c r="A5" s="10" t="s">
        <v>104</v>
      </c>
      <c r="B5" s="15" t="n">
        <v>1</v>
      </c>
      <c r="C5" s="15" t="n">
        <v>2</v>
      </c>
      <c r="D5" s="15" t="n">
        <v>4</v>
      </c>
      <c r="E5" s="15" t="n">
        <v>8</v>
      </c>
      <c r="F5" s="15" t="n">
        <v>12</v>
      </c>
    </row>
    <row r="6" customFormat="false" ht="15" hidden="false" customHeight="true" outlineLevel="0" collapsed="false">
      <c r="A6" s="10" t="s">
        <v>105</v>
      </c>
      <c r="B6" s="15" t="n">
        <v>0</v>
      </c>
      <c r="C6" s="15" t="n">
        <v>1</v>
      </c>
      <c r="D6" s="15" t="n">
        <v>2</v>
      </c>
      <c r="E6" s="15" t="n">
        <v>4</v>
      </c>
      <c r="F6" s="15" t="n">
        <v>6</v>
      </c>
    </row>
    <row r="7" customFormat="false" ht="15" hidden="false" customHeight="true" outlineLevel="0" collapsed="false">
      <c r="A7" s="16" t="s">
        <v>106</v>
      </c>
      <c r="B7" s="17" t="n">
        <f aca="false">B4+B5+B6</f>
        <v>3</v>
      </c>
      <c r="C7" s="17" t="n">
        <f aca="false">C4+C5+C6</f>
        <v>7</v>
      </c>
      <c r="D7" s="17" t="n">
        <f aca="false">D4+D5+D6</f>
        <v>12</v>
      </c>
      <c r="E7" s="17" t="n">
        <f aca="false">E4+E5+E6</f>
        <v>22</v>
      </c>
      <c r="F7" s="17" t="n">
        <f aca="false">F4+F5+F6</f>
        <v>33</v>
      </c>
    </row>
    <row r="8" customFormat="false" ht="15" hidden="false" customHeight="true" outlineLevel="0" collapsed="false">
      <c r="A8" s="18"/>
      <c r="B8" s="18"/>
      <c r="C8" s="18"/>
      <c r="D8" s="18"/>
      <c r="E8" s="18"/>
      <c r="F8" s="18"/>
    </row>
    <row r="9" customFormat="false" ht="15" hidden="false" customHeight="true" outlineLevel="0" collapsed="false">
      <c r="A9" s="19" t="s">
        <v>107</v>
      </c>
      <c r="B9" s="20" t="n">
        <f aca="false">(B4*297)+(B5*697)+(B6*997)</f>
        <v>1291</v>
      </c>
      <c r="C9" s="20" t="n">
        <f aca="false">(C4*297)+(C5*697)+(C6*997)</f>
        <v>3579</v>
      </c>
      <c r="D9" s="20" t="n">
        <f aca="false">(D4*297)+(D5*697)+(D6*997)</f>
        <v>6564</v>
      </c>
      <c r="E9" s="20" t="n">
        <f aca="false">(E4*297)+(E5*697)+(E6*997)</f>
        <v>12534</v>
      </c>
      <c r="F9" s="20" t="n">
        <f aca="false">(F4*297)+(F5*697)+(F6*997)</f>
        <v>18801</v>
      </c>
    </row>
    <row r="10" customFormat="false" ht="15" hidden="false" customHeight="true" outlineLevel="0" collapsed="false">
      <c r="A10" s="16" t="s">
        <v>108</v>
      </c>
      <c r="B10" s="21" t="n">
        <f aca="false">(B4*500)+(B5*1000)+(B6*1500)</f>
        <v>2000</v>
      </c>
      <c r="C10" s="21" t="n">
        <f aca="false">(C4*500)+(C5*1000)+(C6*1500)</f>
        <v>5500</v>
      </c>
      <c r="D10" s="21" t="n">
        <f aca="false">(D4*500)+(D5*1000)+(D6*1500)</f>
        <v>10000</v>
      </c>
      <c r="E10" s="21" t="n">
        <f aca="false">(E4*500)+(E5*1000)+(E6*1500)</f>
        <v>19000</v>
      </c>
      <c r="F10" s="21" t="n">
        <f aca="false">(F4*500)+(F5*1000)+(F6*1500)</f>
        <v>28500</v>
      </c>
    </row>
    <row r="11" customFormat="false" ht="15" hidden="false" customHeight="true" outlineLevel="0" collapsed="false">
      <c r="A11" s="16" t="s">
        <v>109</v>
      </c>
      <c r="B11" s="22" t="n">
        <f aca="false">'Tool Costs'!D16</f>
        <v>173</v>
      </c>
      <c r="C11" s="22" t="n">
        <f aca="false">'Tool Costs'!D16</f>
        <v>173</v>
      </c>
      <c r="D11" s="22" t="n">
        <f aca="false">'Tool Costs'!D16</f>
        <v>173</v>
      </c>
      <c r="E11" s="22" t="n">
        <f aca="false">'Tool Costs'!D16</f>
        <v>173</v>
      </c>
      <c r="F11" s="22" t="n">
        <f aca="false">'Tool Costs'!D16</f>
        <v>173</v>
      </c>
    </row>
    <row r="12" customFormat="false" ht="15" hidden="false" customHeight="true" outlineLevel="0" collapsed="false">
      <c r="A12" s="16" t="s">
        <v>110</v>
      </c>
      <c r="B12" s="21" t="n">
        <f aca="false">B9*0.25</f>
        <v>322.75</v>
      </c>
      <c r="C12" s="21" t="n">
        <f aca="false">C9*0.25</f>
        <v>894.75</v>
      </c>
      <c r="D12" s="21" t="n">
        <f aca="false">D9*0.25</f>
        <v>1641</v>
      </c>
      <c r="E12" s="21" t="n">
        <f aca="false">E9*0.25</f>
        <v>3133.5</v>
      </c>
      <c r="F12" s="21" t="n">
        <f aca="false">F9*0.25</f>
        <v>4700.25</v>
      </c>
    </row>
    <row r="13" customFormat="false" ht="15" hidden="false" customHeight="true" outlineLevel="0" collapsed="false">
      <c r="A13" s="18"/>
      <c r="B13" s="18"/>
      <c r="C13" s="18"/>
      <c r="D13" s="18"/>
      <c r="E13" s="18"/>
      <c r="F13" s="18"/>
    </row>
    <row r="14" customFormat="false" ht="15" hidden="false" customHeight="true" outlineLevel="0" collapsed="false">
      <c r="A14" s="23" t="s">
        <v>111</v>
      </c>
      <c r="B14" s="24" t="n">
        <f aca="false">B9-B11-B12</f>
        <v>795.25</v>
      </c>
      <c r="C14" s="24" t="n">
        <f aca="false">C9-C11-C12</f>
        <v>2511.25</v>
      </c>
      <c r="D14" s="24" t="n">
        <f aca="false">D9-D11-D12</f>
        <v>4750</v>
      </c>
      <c r="E14" s="24" t="n">
        <f aca="false">E9-E11-E12</f>
        <v>9227.5</v>
      </c>
      <c r="F14" s="24" t="n">
        <f aca="false">F9-F11-F12</f>
        <v>13927.75</v>
      </c>
    </row>
  </sheetData>
  <mergeCells count="3">
    <mergeCell ref="A1:F1"/>
    <mergeCell ref="A8:F8"/>
    <mergeCell ref="A13:F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0"/>
    <col collapsed="false" customWidth="true" hidden="false" outlineLevel="0" max="3" min="3" style="0" width="18"/>
    <col collapsed="false" customWidth="true" hidden="false" outlineLevel="0" max="4" min="4" style="0" width="16"/>
    <col collapsed="false" customWidth="true" hidden="false" outlineLevel="0" max="5" min="5" style="0" width="20"/>
    <col collapsed="false" customWidth="true" hidden="false" outlineLevel="0" max="6" min="6" style="0" width="16"/>
  </cols>
  <sheetData>
    <row r="1" customFormat="false" ht="15" hidden="false" customHeight="false" outlineLevel="0" collapsed="false">
      <c r="A1" s="1" t="s">
        <v>112</v>
      </c>
      <c r="B1" s="1" t="s">
        <v>113</v>
      </c>
      <c r="C1" s="1" t="s">
        <v>114</v>
      </c>
      <c r="D1" s="1" t="s">
        <v>3</v>
      </c>
      <c r="E1" s="1" t="s">
        <v>115</v>
      </c>
      <c r="F1" s="1" t="s">
        <v>14</v>
      </c>
    </row>
    <row r="2" customFormat="false" ht="15" hidden="false" customHeight="false" outlineLevel="0" collapsed="false">
      <c r="A2" s="25"/>
      <c r="B2" s="25"/>
      <c r="C2" s="25"/>
      <c r="D2" s="25"/>
      <c r="E2" s="25"/>
      <c r="F2" s="25"/>
    </row>
    <row r="3" customFormat="false" ht="15" hidden="false" customHeight="false" outlineLevel="0" collapsed="false">
      <c r="A3" s="25"/>
      <c r="B3" s="25"/>
      <c r="C3" s="25"/>
      <c r="D3" s="25"/>
      <c r="E3" s="25"/>
      <c r="F3" s="25"/>
    </row>
    <row r="4" customFormat="false" ht="15" hidden="false" customHeight="false" outlineLevel="0" collapsed="false">
      <c r="A4" s="25"/>
      <c r="B4" s="25"/>
      <c r="C4" s="25"/>
      <c r="D4" s="25"/>
      <c r="E4" s="25"/>
      <c r="F4" s="25"/>
    </row>
    <row r="5" customFormat="false" ht="15" hidden="false" customHeight="false" outlineLevel="0" collapsed="false">
      <c r="A5" s="25"/>
      <c r="B5" s="25"/>
      <c r="C5" s="25"/>
      <c r="D5" s="25"/>
      <c r="E5" s="25"/>
      <c r="F5" s="25"/>
    </row>
    <row r="6" customFormat="false" ht="15" hidden="false" customHeight="false" outlineLevel="0" collapsed="false">
      <c r="A6" s="25"/>
      <c r="B6" s="25"/>
      <c r="C6" s="25"/>
      <c r="D6" s="25"/>
      <c r="E6" s="25"/>
      <c r="F6" s="25"/>
    </row>
    <row r="7" customFormat="false" ht="15" hidden="false" customHeight="false" outlineLevel="0" collapsed="false">
      <c r="A7" s="25"/>
      <c r="B7" s="25"/>
      <c r="C7" s="25"/>
      <c r="D7" s="25"/>
      <c r="E7" s="25"/>
      <c r="F7" s="25"/>
    </row>
    <row r="8" customFormat="false" ht="15" hidden="false" customHeight="false" outlineLevel="0" collapsed="false">
      <c r="A8" s="25"/>
      <c r="B8" s="25"/>
      <c r="C8" s="25"/>
      <c r="D8" s="25"/>
      <c r="E8" s="25"/>
      <c r="F8" s="25"/>
    </row>
    <row r="9" customFormat="false" ht="15" hidden="false" customHeight="false" outlineLevel="0" collapsed="false">
      <c r="A9" s="25"/>
      <c r="B9" s="25"/>
      <c r="C9" s="25"/>
      <c r="D9" s="25"/>
      <c r="E9" s="25"/>
      <c r="F9" s="25"/>
    </row>
    <row r="10" customFormat="false" ht="15" hidden="false" customHeight="false" outlineLevel="0" collapsed="false">
      <c r="A10" s="25"/>
      <c r="B10" s="25"/>
      <c r="C10" s="25"/>
      <c r="D10" s="25"/>
      <c r="E10" s="25"/>
      <c r="F10" s="25"/>
    </row>
    <row r="11" customFormat="false" ht="15" hidden="false" customHeight="false" outlineLevel="0" collapsed="false">
      <c r="A11" s="25"/>
      <c r="B11" s="25"/>
      <c r="C11" s="25"/>
      <c r="D11" s="25"/>
      <c r="E11" s="25"/>
      <c r="F11" s="25"/>
    </row>
    <row r="12" customFormat="false" ht="15" hidden="false" customHeight="false" outlineLevel="0" collapsed="false">
      <c r="A12" s="25"/>
      <c r="B12" s="25"/>
      <c r="C12" s="25"/>
      <c r="D12" s="25"/>
      <c r="E12" s="25"/>
      <c r="F12" s="25"/>
    </row>
    <row r="13" customFormat="false" ht="15" hidden="false" customHeight="false" outlineLevel="0" collapsed="false">
      <c r="A13" s="25"/>
      <c r="B13" s="25"/>
      <c r="C13" s="25"/>
      <c r="D13" s="25"/>
      <c r="E13" s="25"/>
      <c r="F13" s="25"/>
    </row>
    <row r="14" customFormat="false" ht="15" hidden="false" customHeight="false" outlineLevel="0" collapsed="false">
      <c r="A14" s="25"/>
      <c r="B14" s="25"/>
      <c r="C14" s="25"/>
      <c r="D14" s="25"/>
      <c r="E14" s="25"/>
      <c r="F14" s="25"/>
    </row>
    <row r="15" customFormat="false" ht="15" hidden="false" customHeight="false" outlineLevel="0" collapsed="false">
      <c r="A15" s="25"/>
      <c r="B15" s="25"/>
      <c r="C15" s="25"/>
      <c r="D15" s="25"/>
      <c r="E15" s="25"/>
      <c r="F15" s="25"/>
    </row>
    <row r="16" customFormat="false" ht="15" hidden="false" customHeight="false" outlineLevel="0" collapsed="false">
      <c r="A16" s="25"/>
      <c r="B16" s="25"/>
      <c r="C16" s="25"/>
      <c r="D16" s="25"/>
      <c r="E16" s="25"/>
      <c r="F16" s="25"/>
    </row>
    <row r="17" customFormat="false" ht="15" hidden="false" customHeight="false" outlineLevel="0" collapsed="false">
      <c r="A17" s="25"/>
      <c r="B17" s="25"/>
      <c r="C17" s="25"/>
      <c r="D17" s="25"/>
      <c r="E17" s="25"/>
      <c r="F17" s="25"/>
    </row>
    <row r="18" customFormat="false" ht="15" hidden="false" customHeight="false" outlineLevel="0" collapsed="false">
      <c r="A18" s="25"/>
      <c r="B18" s="25"/>
      <c r="C18" s="25"/>
      <c r="D18" s="25"/>
      <c r="E18" s="25"/>
      <c r="F18" s="25"/>
    </row>
    <row r="19" customFormat="false" ht="15" hidden="false" customHeight="false" outlineLevel="0" collapsed="false">
      <c r="A19" s="25"/>
      <c r="B19" s="25"/>
      <c r="C19" s="25"/>
      <c r="D19" s="25"/>
      <c r="E19" s="25"/>
      <c r="F19" s="25"/>
    </row>
    <row r="20" customFormat="false" ht="15" hidden="false" customHeight="false" outlineLevel="0" collapsed="false">
      <c r="A20" s="25"/>
      <c r="B20" s="25"/>
      <c r="C20" s="25"/>
      <c r="D20" s="25"/>
      <c r="E20" s="25"/>
      <c r="F20" s="25"/>
    </row>
    <row r="21" customFormat="false" ht="15" hidden="false" customHeight="false" outlineLevel="0" collapsed="false">
      <c r="A21" s="25"/>
      <c r="B21" s="25"/>
      <c r="C21" s="25"/>
      <c r="D21" s="25"/>
      <c r="E21" s="25"/>
      <c r="F21" s="2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8"/>
    <col collapsed="false" customWidth="true" hidden="false" outlineLevel="0" max="5" min="2" style="0" width="16"/>
  </cols>
  <sheetData>
    <row r="1" customFormat="false" ht="15" hidden="false" customHeight="false" outlineLevel="0" collapsed="false">
      <c r="A1" s="1" t="s">
        <v>116</v>
      </c>
      <c r="B1" s="1" t="s">
        <v>117</v>
      </c>
      <c r="C1" s="1" t="s">
        <v>118</v>
      </c>
      <c r="D1" s="1" t="s">
        <v>119</v>
      </c>
      <c r="E1" s="1" t="s">
        <v>120</v>
      </c>
    </row>
    <row r="2" customFormat="false" ht="15" hidden="false" customHeight="false" outlineLevel="0" collapsed="false">
      <c r="A2" s="26" t="s">
        <v>121</v>
      </c>
      <c r="B2" s="3" t="n">
        <v>25</v>
      </c>
      <c r="C2" s="3"/>
      <c r="D2" s="3" t="n">
        <v>40</v>
      </c>
      <c r="E2" s="3"/>
    </row>
    <row r="3" customFormat="false" ht="15" hidden="false" customHeight="false" outlineLevel="0" collapsed="false">
      <c r="A3" s="27" t="s">
        <v>122</v>
      </c>
      <c r="B3" s="2" t="n">
        <v>3</v>
      </c>
      <c r="C3" s="2"/>
      <c r="D3" s="2" t="n">
        <v>5</v>
      </c>
      <c r="E3" s="2"/>
    </row>
    <row r="4" customFormat="false" ht="15" hidden="false" customHeight="false" outlineLevel="0" collapsed="false">
      <c r="A4" s="26" t="s">
        <v>123</v>
      </c>
      <c r="B4" s="3" t="n">
        <v>2</v>
      </c>
      <c r="C4" s="3"/>
      <c r="D4" s="3" t="n">
        <v>4</v>
      </c>
      <c r="E4" s="3"/>
    </row>
    <row r="5" customFormat="false" ht="15" hidden="false" customHeight="false" outlineLevel="0" collapsed="false">
      <c r="A5" s="27" t="s">
        <v>124</v>
      </c>
      <c r="B5" s="2" t="n">
        <v>1</v>
      </c>
      <c r="C5" s="2"/>
      <c r="D5" s="2" t="n">
        <v>3</v>
      </c>
      <c r="E5" s="2"/>
    </row>
    <row r="6" customFormat="false" ht="15" hidden="false" customHeight="false" outlineLevel="0" collapsed="false">
      <c r="A6" s="26" t="s">
        <v>125</v>
      </c>
      <c r="B6" s="3" t="n">
        <v>0</v>
      </c>
      <c r="C6" s="3"/>
      <c r="D6" s="3" t="n">
        <v>2</v>
      </c>
      <c r="E6" s="3"/>
    </row>
    <row r="7" customFormat="false" ht="15" hidden="false" customHeight="false" outlineLevel="0" collapsed="false">
      <c r="A7" s="27" t="s">
        <v>126</v>
      </c>
      <c r="B7" s="2" t="n">
        <v>0</v>
      </c>
      <c r="C7" s="2"/>
      <c r="D7" s="2" t="n">
        <v>2</v>
      </c>
      <c r="E7" s="2"/>
    </row>
    <row r="8" customFormat="false" ht="15" hidden="false" customHeight="false" outlineLevel="0" collapsed="false">
      <c r="A8" s="26" t="s">
        <v>127</v>
      </c>
      <c r="B8" s="3" t="s">
        <v>128</v>
      </c>
      <c r="C8" s="3"/>
      <c r="D8" s="3" t="s">
        <v>129</v>
      </c>
      <c r="E8" s="3"/>
    </row>
    <row r="9" customFormat="false" ht="15" hidden="false" customHeight="false" outlineLevel="0" collapsed="false">
      <c r="A9" s="27" t="s">
        <v>130</v>
      </c>
      <c r="B9" s="2" t="s">
        <v>131</v>
      </c>
      <c r="C9" s="2"/>
      <c r="D9" s="2" t="s">
        <v>132</v>
      </c>
      <c r="E9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2026-04-08T21:29:03Z</dcterms:created>
  <dc:creator>openpyxl</dc:creator>
  <dc:description/>
  <dc:language>en-US</dc:language>
  <cp:lastModifiedBy/>
  <dcterms:modified xsi:type="dcterms:W3CDTF">2026-04-08T21:51:58Z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